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SWYNEX eda\excel\"/>
    </mc:Choice>
  </mc:AlternateContent>
  <xr:revisionPtr revIDLastSave="0" documentId="13_ncr:1_{9EFFE260-DBA7-49A0-8FB1-8D1A76CC4D07}" xr6:coauthVersionLast="47" xr6:coauthVersionMax="47" xr10:uidLastSave="{00000000-0000-0000-0000-000000000000}"/>
  <bookViews>
    <workbookView xWindow="-108" yWindow="-108" windowWidth="23256" windowHeight="13176" tabRatio="891" activeTab="9" xr2:uid="{734C69CE-F079-414A-B8B4-3AC9195CF650}"/>
  </bookViews>
  <sheets>
    <sheet name="EDA Summary" sheetId="1" r:id="rId1"/>
    <sheet name="Yearly Sales" sheetId="2" r:id="rId2"/>
    <sheet name="Monthly Sales" sheetId="9" r:id="rId3"/>
    <sheet name="Category Analysis" sheetId="3" r:id="rId4"/>
    <sheet name="Sub-Category Analysis" sheetId="4" r:id="rId5"/>
    <sheet name=" Region Analysis " sheetId="5" r:id="rId6"/>
    <sheet name="Segment Analysis" sheetId="6" r:id="rId7"/>
    <sheet name="Top States" sheetId="7" r:id="rId8"/>
    <sheet name="Top Products" sheetId="8" r:id="rId9"/>
    <sheet name="Anomaly Analysi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0" l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" i="9"/>
</calcChain>
</file>

<file path=xl/sharedStrings.xml><?xml version="1.0" encoding="utf-8"?>
<sst xmlns="http://schemas.openxmlformats.org/spreadsheetml/2006/main" count="213" uniqueCount="168">
  <si>
    <t>Technology</t>
  </si>
  <si>
    <t>Furniture</t>
  </si>
  <si>
    <t>Office Supplies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</si>
  <si>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</si>
  <si>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</si>
  <si>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</si>
  <si>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</si>
  <si>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</si>
  <si>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</si>
  <si>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</si>
  <si>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</si>
  <si>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</si>
  <si>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</si>
  <si>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</si>
  <si>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</si>
  <si>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</si>
  <si>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</si>
  <si>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</si>
  <si>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</si>
  <si>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</si>
  <si>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West</t>
  </si>
  <si>
    <t>East</t>
  </si>
  <si>
    <t>Central</t>
  </si>
  <si>
    <t>South</t>
  </si>
  <si>
    <t>Consumer</t>
  </si>
  <si>
    <t>Corporate</t>
  </si>
  <si>
    <t>Home Office</t>
  </si>
  <si>
    <t>California</t>
  </si>
  <si>
    <t>New York</t>
  </si>
  <si>
    <t>Texas</t>
  </si>
  <si>
    <t>Washington</t>
  </si>
  <si>
    <t>Pennsylvania</t>
  </si>
  <si>
    <t>Florida</t>
  </si>
  <si>
    <t>Illinois</t>
  </si>
  <si>
    <t>Michigan</t>
  </si>
  <si>
    <t>Ohio</t>
  </si>
  <si>
    <t>Virginia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</si>
  <si>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</si>
  <si>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</si>
  <si>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</si>
  <si>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</si>
  <si>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</si>
  <si>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</si>
  <si>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</si>
  <si>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</si>
  <si>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</si>
  <si>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</si>
  <si>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</si>
  <si>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</si>
  <si>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</si>
  <si>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</si>
  <si>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</si>
  <si>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</si>
  <si>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</si>
  <si>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</si>
  <si>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</si>
  <si>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</si>
  <si>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</si>
  <si>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</si>
  <si>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</si>
  <si>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</si>
  <si>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</si>
  <si>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</si>
  <si>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</si>
  <si>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</si>
  <si>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</si>
  <si>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</si>
  <si>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</si>
  <si>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</si>
  <si>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</si>
  <si>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</si>
  <si>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</si>
  <si>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</si>
  <si>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</si>
  <si>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</si>
  <si>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</si>
  <si>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</si>
  <si>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</si>
  <si>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</si>
  <si>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</si>
  <si>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</si>
  <si>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</si>
  <si>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</si>
  <si>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</si>
  <si>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</si>
  <si>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</si>
  <si>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</si>
  <si>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</si>
  <si>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</si>
  <si>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</si>
  <si>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</si>
  <si>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</si>
  <si>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</si>
  <si>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</si>
  <si>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</si>
  <si>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CA-2015-145317</t>
  </si>
  <si>
    <t>Sean Miller</t>
  </si>
  <si>
    <t>CA-2017-118689</t>
  </si>
  <si>
    <t>Tamara Chand</t>
  </si>
  <si>
    <t>CA-2018-140151</t>
  </si>
  <si>
    <t>Raymond Buch</t>
  </si>
  <si>
    <t>CA-2018-127180</t>
  </si>
  <si>
    <t>Tom Ashbrook</t>
  </si>
  <si>
    <t>CA-2018-166709</t>
  </si>
  <si>
    <t>Hunter Lopez</t>
  </si>
  <si>
    <t>CA-2017-117121</t>
  </si>
  <si>
    <t>Adrian Barton</t>
  </si>
  <si>
    <t>CA-2015-116904</t>
  </si>
  <si>
    <t>Sanjit Chand</t>
  </si>
  <si>
    <t>Ibico EPK-21 Electric Binding System</t>
  </si>
  <si>
    <t>US-2017-107440</t>
  </si>
  <si>
    <t>Bill Shonely</t>
  </si>
  <si>
    <t>3D Systems Cube Printer, 2nd Generation, Magenta</t>
  </si>
  <si>
    <t>CA-2017-158841</t>
  </si>
  <si>
    <t>Sanjit Engle</t>
  </si>
  <si>
    <t>CA-2017-143714</t>
  </si>
  <si>
    <t>Christopher Conant</t>
  </si>
  <si>
    <t>Superstore EDA Summary</t>
  </si>
  <si>
    <t>Metric</t>
  </si>
  <si>
    <t>Value</t>
  </si>
  <si>
    <t>Total Records</t>
  </si>
  <si>
    <t>Total  Orders</t>
  </si>
  <si>
    <t>Total Sales</t>
  </si>
  <si>
    <t>Average Sales</t>
  </si>
  <si>
    <t>Maximum Sale</t>
  </si>
  <si>
    <t>Minimum Sale</t>
  </si>
  <si>
    <t>Earliest Order</t>
  </si>
  <si>
    <t>Latest Order</t>
  </si>
  <si>
    <t>Days Covered</t>
  </si>
  <si>
    <t>Sales Year</t>
  </si>
  <si>
    <t>Yearly Sales</t>
  </si>
  <si>
    <t>Total Orders</t>
  </si>
  <si>
    <t xml:space="preserve"> Category</t>
  </si>
  <si>
    <t>Category Analysis</t>
  </si>
  <si>
    <t>Sub Category</t>
  </si>
  <si>
    <t>Sub Category Analysis</t>
  </si>
  <si>
    <t>Region</t>
  </si>
  <si>
    <t>Region Analysis</t>
  </si>
  <si>
    <t>Segment</t>
  </si>
  <si>
    <t>Customers</t>
  </si>
  <si>
    <t>Segment Analysis</t>
  </si>
  <si>
    <t>State</t>
  </si>
  <si>
    <t>Top States</t>
  </si>
  <si>
    <t>Product Name</t>
  </si>
  <si>
    <t>Top Products</t>
  </si>
  <si>
    <t>Month</t>
  </si>
  <si>
    <t>Month Date</t>
  </si>
  <si>
    <t>Monthly Sales</t>
  </si>
  <si>
    <t>Anamoly Summary</t>
  </si>
  <si>
    <t>Average Sale</t>
  </si>
  <si>
    <t>Standard Deviation</t>
  </si>
  <si>
    <t xml:space="preserve">Minimum Sale </t>
  </si>
  <si>
    <t>Method</t>
  </si>
  <si>
    <t>Mean / 3 Standard Deviation</t>
  </si>
  <si>
    <t>Anamoly Threshold</t>
  </si>
  <si>
    <t>Potential High-Value Anomalies</t>
  </si>
  <si>
    <t>Percentage of Records</t>
  </si>
  <si>
    <t>Order ID</t>
  </si>
  <si>
    <t>Order date</t>
  </si>
  <si>
    <t>Customer name</t>
  </si>
  <si>
    <t>Category</t>
  </si>
  <si>
    <t>Sub-Category</t>
  </si>
  <si>
    <t>Sales</t>
  </si>
  <si>
    <t>Sales Distribution</t>
  </si>
  <si>
    <t>Minimym Sale</t>
  </si>
  <si>
    <t>Top 10 Highest -Value Sales</t>
  </si>
  <si>
    <t>Total Customers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</si>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</sst>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d\-mmm\-yyyy;@"/>
    <numFmt numFmtId="166" formatCode="&quot;$&quot;#,##0.00"/>
    <numFmt numFmtId="167" formatCode="mmm\-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6" fillId="0" borderId="0" xfId="0" applyFont="1" applyFill="1" applyAlignment="1">
      <alignment vertical="center"/>
    </xf>
    <xf numFmtId="10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0" applyFont="1" applyFill="1"/>
    <xf numFmtId="166" fontId="0" fillId="0" borderId="0" xfId="0" applyNumberFormat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ANNUAL SALES TREND</a:t>
            </a:r>
            <a:endParaRPr lang="en-US" b="1" baseline="0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803149606299213E-2"/>
          <c:y val="0.1902314814814815"/>
          <c:w val="0.85230796150481192"/>
          <c:h val="0.615354695246427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'Yearly Sales'!$C$4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76000"/>
                  </a:schemeClr>
                </a:gs>
                <a:gs pos="100000">
                  <a:schemeClr val="accent1">
                    <a:shade val="76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'Yearly Sales'!$A$5:$A$8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'Yearly Sales'!$C$5:$C$8</c:f>
              <c:numCache>
                <c:formatCode>"$"#,##0.00</c:formatCode>
                <c:ptCount val="4"/>
                <c:pt idx="0">
                  <c:v>479856.21</c:v>
                </c:pt>
                <c:pt idx="1">
                  <c:v>459436.01</c:v>
                </c:pt>
                <c:pt idx="2">
                  <c:v>600192.55000000005</c:v>
                </c:pt>
                <c:pt idx="3">
                  <c:v>722052.02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8-4D72-93B5-D2FEDB409C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9421232"/>
        <c:axId val="1353157584"/>
      </c:barChart>
      <c:catAx>
        <c:axId val="15494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57584"/>
        <c:crosses val="autoZero"/>
        <c:auto val="1"/>
        <c:lblAlgn val="ctr"/>
        <c:lblOffset val="100"/>
        <c:tickLblSkip val="1"/>
        <c:noMultiLvlLbl val="0"/>
      </c:catAx>
      <c:valAx>
        <c:axId val="1353157584"/>
        <c:scaling>
          <c:orientation val="minMax"/>
        </c:scaling>
        <c:delete val="1"/>
        <c:axPos val="l"/>
        <c:numFmt formatCode="&quot;$&quot;#,##0" sourceLinked="0"/>
        <c:majorTickMark val="none"/>
        <c:minorTickMark val="none"/>
        <c:tickLblPos val="nextTo"/>
        <c:crossAx val="15494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>
                <a:solidFill>
                  <a:schemeClr val="bg1"/>
                </a:solidFill>
                <a:effectLst/>
              </a:rPr>
              <a:t>Monthly Sales Trend</a:t>
            </a:r>
            <a:endParaRPr lang="en-IN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4242344706911632"/>
          <c:y val="3.2407407407407406E-2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'Monthly Sales'!$C$5:$C$52</c:f>
              <c:numCache>
                <c:formatCode>mmm\-yyyy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'Monthly Sales'!$B$5:$B$52</c:f>
              <c:numCache>
                <c:formatCode>"$"#,##0.00</c:formatCode>
                <c:ptCount val="48"/>
                <c:pt idx="0">
                  <c:v>14205.71</c:v>
                </c:pt>
                <c:pt idx="1">
                  <c:v>4519.8900000000003</c:v>
                </c:pt>
                <c:pt idx="2">
                  <c:v>55205.8</c:v>
                </c:pt>
                <c:pt idx="3">
                  <c:v>27906.86</c:v>
                </c:pt>
                <c:pt idx="4">
                  <c:v>23644.3</c:v>
                </c:pt>
                <c:pt idx="5">
                  <c:v>34322.94</c:v>
                </c:pt>
                <c:pt idx="6">
                  <c:v>33781.54</c:v>
                </c:pt>
                <c:pt idx="7">
                  <c:v>27117.54</c:v>
                </c:pt>
                <c:pt idx="8">
                  <c:v>81623.53</c:v>
                </c:pt>
                <c:pt idx="9">
                  <c:v>31453.39</c:v>
                </c:pt>
                <c:pt idx="10">
                  <c:v>77907.66</c:v>
                </c:pt>
                <c:pt idx="11">
                  <c:v>68167.06</c:v>
                </c:pt>
                <c:pt idx="12">
                  <c:v>18066.96</c:v>
                </c:pt>
                <c:pt idx="13">
                  <c:v>11951.41</c:v>
                </c:pt>
                <c:pt idx="14">
                  <c:v>32339.32</c:v>
                </c:pt>
                <c:pt idx="15">
                  <c:v>34154.47</c:v>
                </c:pt>
                <c:pt idx="16">
                  <c:v>29959.53</c:v>
                </c:pt>
                <c:pt idx="17">
                  <c:v>23599.37</c:v>
                </c:pt>
                <c:pt idx="18">
                  <c:v>28608.26</c:v>
                </c:pt>
                <c:pt idx="19">
                  <c:v>36818.339999999997</c:v>
                </c:pt>
                <c:pt idx="20">
                  <c:v>63133.61</c:v>
                </c:pt>
                <c:pt idx="21">
                  <c:v>31011.74</c:v>
                </c:pt>
                <c:pt idx="22">
                  <c:v>75249.399999999994</c:v>
                </c:pt>
                <c:pt idx="23">
                  <c:v>74543.600000000006</c:v>
                </c:pt>
                <c:pt idx="24">
                  <c:v>18542.490000000002</c:v>
                </c:pt>
                <c:pt idx="25">
                  <c:v>22978.82</c:v>
                </c:pt>
                <c:pt idx="26">
                  <c:v>51165.06</c:v>
                </c:pt>
                <c:pt idx="27">
                  <c:v>38679.769999999997</c:v>
                </c:pt>
                <c:pt idx="28">
                  <c:v>56656.91</c:v>
                </c:pt>
                <c:pt idx="29">
                  <c:v>39724.49</c:v>
                </c:pt>
                <c:pt idx="30">
                  <c:v>38320.78</c:v>
                </c:pt>
                <c:pt idx="31">
                  <c:v>30542.2</c:v>
                </c:pt>
                <c:pt idx="32">
                  <c:v>69193.39</c:v>
                </c:pt>
                <c:pt idx="33">
                  <c:v>59583.03</c:v>
                </c:pt>
                <c:pt idx="34">
                  <c:v>79066.5</c:v>
                </c:pt>
                <c:pt idx="35">
                  <c:v>95739.12</c:v>
                </c:pt>
                <c:pt idx="36">
                  <c:v>43476.47</c:v>
                </c:pt>
                <c:pt idx="37">
                  <c:v>19921</c:v>
                </c:pt>
                <c:pt idx="38">
                  <c:v>58863.41</c:v>
                </c:pt>
                <c:pt idx="39">
                  <c:v>35541.910000000003</c:v>
                </c:pt>
                <c:pt idx="40">
                  <c:v>43825.98</c:v>
                </c:pt>
                <c:pt idx="41">
                  <c:v>48190.73</c:v>
                </c:pt>
                <c:pt idx="42">
                  <c:v>44825.1</c:v>
                </c:pt>
                <c:pt idx="43">
                  <c:v>62837.85</c:v>
                </c:pt>
                <c:pt idx="44">
                  <c:v>86152.89</c:v>
                </c:pt>
                <c:pt idx="45">
                  <c:v>77448.13</c:v>
                </c:pt>
                <c:pt idx="46">
                  <c:v>117938.16</c:v>
                </c:pt>
                <c:pt idx="47">
                  <c:v>83030.39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2-4A8F-9744-AF9A30A36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695456"/>
        <c:axId val="1354606912"/>
      </c:lineChart>
      <c:catAx>
        <c:axId val="595695456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606912"/>
        <c:crosses val="autoZero"/>
        <c:auto val="0"/>
        <c:lblAlgn val="ctr"/>
        <c:lblOffset val="100"/>
        <c:noMultiLvlLbl val="0"/>
      </c:catAx>
      <c:valAx>
        <c:axId val="135460691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SALES BY CATEGORY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Analysis'!$A$5:$A$7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Analysis'!$B$5:$B$7</c:f>
              <c:numCache>
                <c:formatCode>"$"#,##0.00</c:formatCode>
                <c:ptCount val="3"/>
                <c:pt idx="0">
                  <c:v>827455.87</c:v>
                </c:pt>
                <c:pt idx="1">
                  <c:v>728658.58</c:v>
                </c:pt>
                <c:pt idx="2">
                  <c:v>705422.33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D-42D4-AE2A-5FD87767EC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95683456"/>
        <c:axId val="595683936"/>
      </c:barChart>
      <c:catAx>
        <c:axId val="5956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83936"/>
        <c:crosses val="autoZero"/>
        <c:auto val="1"/>
        <c:lblAlgn val="ctr"/>
        <c:lblOffset val="100"/>
        <c:noMultiLvlLbl val="0"/>
      </c:catAx>
      <c:valAx>
        <c:axId val="595683936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5956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  <a:effectLst/>
              </a:rPr>
              <a:t>SALES BY SUB-CATEGORY</a:t>
            </a:r>
            <a:endParaRPr lang="en-US" baseline="0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89769991768782"/>
          <c:y val="9.820275203594496E-2"/>
          <c:w val="0.84540604761682892"/>
          <c:h val="0.851249648975006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'Sub-Category Analysis'!$B$4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tx1">
                  <a:lumMod val="75000"/>
                  <a:lumOff val="25000"/>
                  <a:alpha val="67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'Sub-Category Analysis'!$A$5:$A$21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'Sub-Category Analysis'!$B$5:$B$21</c:f>
              <c:numCache>
                <c:formatCode>"$"#,##0.00</c:formatCode>
                <c:ptCount val="17"/>
                <c:pt idx="0">
                  <c:v>327782.45</c:v>
                </c:pt>
                <c:pt idx="1">
                  <c:v>322822.73</c:v>
                </c:pt>
                <c:pt idx="2">
                  <c:v>219343.39</c:v>
                </c:pt>
                <c:pt idx="3">
                  <c:v>202810.63</c:v>
                </c:pt>
                <c:pt idx="4">
                  <c:v>200028.79</c:v>
                </c:pt>
                <c:pt idx="5">
                  <c:v>189238.63</c:v>
                </c:pt>
                <c:pt idx="6">
                  <c:v>164186.70000000001</c:v>
                </c:pt>
                <c:pt idx="7">
                  <c:v>146248.09</c:v>
                </c:pt>
                <c:pt idx="8">
                  <c:v>113813.2</c:v>
                </c:pt>
                <c:pt idx="9">
                  <c:v>104618.4</c:v>
                </c:pt>
                <c:pt idx="10">
                  <c:v>89212.02</c:v>
                </c:pt>
                <c:pt idx="11">
                  <c:v>76828.3</c:v>
                </c:pt>
                <c:pt idx="12">
                  <c:v>46420.31</c:v>
                </c:pt>
                <c:pt idx="13">
                  <c:v>26705.41</c:v>
                </c:pt>
                <c:pt idx="14">
                  <c:v>16128.05</c:v>
                </c:pt>
                <c:pt idx="15">
                  <c:v>12347.73</c:v>
                </c:pt>
                <c:pt idx="16">
                  <c:v>3001.96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0-4038-A428-4B6997228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5689696"/>
        <c:axId val="595684416"/>
      </c:barChart>
      <c:catAx>
        <c:axId val="595689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84416"/>
        <c:crosses val="autoZero"/>
        <c:auto val="1"/>
        <c:lblAlgn val="ctr"/>
        <c:lblOffset val="100"/>
        <c:noMultiLvlLbl val="0"/>
      </c:catAx>
      <c:valAx>
        <c:axId val="595684416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59568969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SALES BY REGION</a:t>
            </a:r>
            <a:endParaRPr lang="en-US" baseline="0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Region Analysis '!$C$4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Region Analysis '!$A$5:$A$8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 Region Analysis '!$C$5:$C$8</c:f>
              <c:numCache>
                <c:formatCode>"$"#,##0.00</c:formatCode>
                <c:ptCount val="4"/>
                <c:pt idx="0">
                  <c:v>710219.68</c:v>
                </c:pt>
                <c:pt idx="1">
                  <c:v>669518.73</c:v>
                </c:pt>
                <c:pt idx="2">
                  <c:v>492646.91</c:v>
                </c:pt>
                <c:pt idx="3">
                  <c:v>389151.46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1-4B9E-9C35-96C882D6B0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44432224"/>
        <c:axId val="1544430304"/>
      </c:barChart>
      <c:catAx>
        <c:axId val="1544432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30304"/>
        <c:crosses val="autoZero"/>
        <c:auto val="1"/>
        <c:lblAlgn val="ctr"/>
        <c:lblOffset val="100"/>
        <c:noMultiLvlLbl val="0"/>
      </c:catAx>
      <c:valAx>
        <c:axId val="1544430304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154443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SALES BY CUSTOMER SEGMENT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Analysis'!$C$4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 Analysis'!$A$5:$A$7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Analysis'!$C$5:$C$7</c:f>
              <c:numCache>
                <c:formatCode>"$"#,##0.00</c:formatCode>
                <c:ptCount val="3"/>
                <c:pt idx="0">
                  <c:v>1148060.53</c:v>
                </c:pt>
                <c:pt idx="1">
                  <c:v>688494.07</c:v>
                </c:pt>
                <c:pt idx="2">
                  <c:v>424982.18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B-47E0-87FA-1354CA5B69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18763824"/>
        <c:axId val="618765744"/>
      </c:barChart>
      <c:catAx>
        <c:axId val="61876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5744"/>
        <c:crosses val="autoZero"/>
        <c:auto val="1"/>
        <c:lblAlgn val="ctr"/>
        <c:lblOffset val="100"/>
        <c:noMultiLvlLbl val="0"/>
      </c:catAx>
      <c:valAx>
        <c:axId val="618765744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61876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TOP 10 STATES BY SALES</a:t>
            </a:r>
            <a:endParaRPr lang="en-US" baseline="0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States'!$B$4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States'!$A$5:$A$14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'Top States'!$B$5:$B$14</c:f>
              <c:numCache>
                <c:formatCode>"$"#,##0.00</c:formatCode>
                <c:ptCount val="10"/>
                <c:pt idx="0">
                  <c:v>446306.46</c:v>
                </c:pt>
                <c:pt idx="1">
                  <c:v>306361.15000000002</c:v>
                </c:pt>
                <c:pt idx="2">
                  <c:v>168572.53</c:v>
                </c:pt>
                <c:pt idx="3">
                  <c:v>135206.85</c:v>
                </c:pt>
                <c:pt idx="4">
                  <c:v>116276.65</c:v>
                </c:pt>
                <c:pt idx="5">
                  <c:v>88436.53</c:v>
                </c:pt>
                <c:pt idx="6">
                  <c:v>79236.52</c:v>
                </c:pt>
                <c:pt idx="7">
                  <c:v>76136.070000000007</c:v>
                </c:pt>
                <c:pt idx="8">
                  <c:v>75130.350000000006</c:v>
                </c:pt>
                <c:pt idx="9">
                  <c:v>70636.72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6-47E8-92A8-2B7B8DADDA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18766704"/>
        <c:axId val="618767184"/>
      </c:barChart>
      <c:catAx>
        <c:axId val="618766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7184"/>
        <c:crosses val="autoZero"/>
        <c:auto val="1"/>
        <c:lblAlgn val="ctr"/>
        <c:lblOffset val="100"/>
        <c:noMultiLvlLbl val="0"/>
      </c:catAx>
      <c:valAx>
        <c:axId val="618767184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61876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3</xdr:row>
      <xdr:rowOff>7620</xdr:rowOff>
    </xdr:from>
    <xdr:to>
      <xdr:col>9</xdr:col>
      <xdr:colOff>502920</xdr:colOff>
      <xdr:row>7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55B394-C1F7-F689-B4B8-70772D6CAB37}"/>
            </a:ext>
          </a:extLst>
        </xdr:cNvPr>
        <xdr:cNvSpPr txBox="1"/>
      </xdr:nvSpPr>
      <xdr:spPr>
        <a:xfrm>
          <a:off x="5585460" y="55626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1. SALES GROWTH</a:t>
          </a:r>
        </a:p>
        <a:p>
          <a:r>
            <a:rPr lang="en-IN"/>
            <a:t> </a:t>
          </a:r>
          <a:r>
            <a:rPr lang="en-IN">
              <a:effectLst/>
            </a:rPr>
            <a:t>Annual sales increased from $479.9K in 2015 to $722.1K in</a:t>
          </a:r>
          <a:r>
            <a:rPr lang="en-IN"/>
            <a:t> </a:t>
          </a:r>
          <a:r>
            <a:rPr lang="en-IN">
              <a:effectLst/>
            </a:rPr>
            <a:t>2018, representing approximately 50.5% overall growth.</a:t>
          </a:r>
          <a:r>
            <a:rPr lang="en-IN"/>
            <a:t> </a:t>
          </a:r>
          <a:r>
            <a:rPr lang="en-IN">
              <a:effectLst/>
            </a:rPr>
            <a:t>After a 4.3% decline in 2016, sales recovered strongly in</a:t>
          </a:r>
          <a:r>
            <a:rPr lang="en-IN"/>
            <a:t> </a:t>
          </a:r>
          <a:r>
            <a:rPr lang="en-IN">
              <a:effectLst/>
            </a:rPr>
            <a:t>2017 and 2018.</a:t>
          </a:r>
          <a:endParaRPr lang="en-IN" sz="1100"/>
        </a:p>
      </xdr:txBody>
    </xdr:sp>
    <xdr:clientData/>
  </xdr:twoCellAnchor>
  <xdr:twoCellAnchor>
    <xdr:from>
      <xdr:col>5</xdr:col>
      <xdr:colOff>0</xdr:colOff>
      <xdr:row>9</xdr:row>
      <xdr:rowOff>22860</xdr:rowOff>
    </xdr:from>
    <xdr:to>
      <xdr:col>9</xdr:col>
      <xdr:colOff>518160</xdr:colOff>
      <xdr:row>13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3989AE-9E2E-4AD0-9016-466B9A95B748}"/>
            </a:ext>
          </a:extLst>
        </xdr:cNvPr>
        <xdr:cNvSpPr txBox="1"/>
      </xdr:nvSpPr>
      <xdr:spPr>
        <a:xfrm>
          <a:off x="5600700" y="166878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2. CATEGORY PERFORMANCE</a:t>
          </a:r>
          <a:r>
            <a:rPr lang="en-IN" b="1"/>
            <a:t> </a:t>
          </a:r>
        </a:p>
        <a:p>
          <a:r>
            <a:rPr lang="en-IN">
              <a:effectLst/>
            </a:rPr>
            <a:t>Technology generated the highest category sales at $827.5K,</a:t>
          </a:r>
          <a:r>
            <a:rPr lang="en-IN"/>
            <a:t> </a:t>
          </a:r>
          <a:r>
            <a:rPr lang="en-IN">
              <a:effectLst/>
            </a:rPr>
            <a:t>representing approximately 36.6% of total sales. It also had</a:t>
          </a:r>
          <a:r>
            <a:rPr lang="en-IN"/>
            <a:t> </a:t>
          </a:r>
          <a:r>
            <a:rPr lang="en-IN">
              <a:effectLst/>
            </a:rPr>
            <a:t>the highest average sale at $456.40.</a:t>
          </a:r>
          <a:endParaRPr lang="en-IN" sz="1100"/>
        </a:p>
      </xdr:txBody>
    </xdr:sp>
    <xdr:clientData/>
  </xdr:twoCellAnchor>
  <xdr:twoCellAnchor>
    <xdr:from>
      <xdr:col>5</xdr:col>
      <xdr:colOff>15240</xdr:colOff>
      <xdr:row>15</xdr:row>
      <xdr:rowOff>7620</xdr:rowOff>
    </xdr:from>
    <xdr:to>
      <xdr:col>9</xdr:col>
      <xdr:colOff>533400</xdr:colOff>
      <xdr:row>19</xdr:row>
      <xdr:rowOff>129540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4734C4-ADAA-4BF5-B814-C5F89FD06738}"/>
            </a:ext>
          </a:extLst>
        </xdr:cNvPr>
        <xdr:cNvSpPr txBox="1"/>
      </xdr:nvSpPr>
      <xdr:spPr>
        <a:xfrm>
          <a:off x="5615940" y="275082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3. SUB-CATEGORY PERFORMANCE</a:t>
          </a:r>
        </a:p>
        <a:p>
          <a:r>
            <a:rPr lang="en-IN">
              <a:effectLst/>
            </a:rPr>
            <a:t>Phones ($327.8K) and Chairs ($322.8K) were the two</a:t>
          </a:r>
          <a:r>
            <a:rPr lang="en-IN"/>
            <a:t> </a:t>
          </a:r>
          <a:r>
            <a:rPr lang="en-IN">
              <a:effectLst/>
            </a:rPr>
            <a:t>highest-selling sub-categories. Together, they contributed</a:t>
          </a:r>
          <a:r>
            <a:rPr lang="en-IN"/>
            <a:t> </a:t>
          </a:r>
          <a:r>
            <a:rPr lang="en-IN">
              <a:effectLst/>
            </a:rPr>
            <a:t>approximately 28.8% of total sales.</a:t>
          </a:r>
          <a:endParaRPr lang="en-IN" sz="1100"/>
        </a:p>
      </xdr:txBody>
    </xdr:sp>
    <xdr:clientData/>
  </xdr:twoCellAnchor>
  <xdr:twoCellAnchor>
    <xdr:from>
      <xdr:col>5</xdr:col>
      <xdr:colOff>7620</xdr:colOff>
      <xdr:row>21</xdr:row>
      <xdr:rowOff>15240</xdr:rowOff>
    </xdr:from>
    <xdr:to>
      <xdr:col>9</xdr:col>
      <xdr:colOff>525780</xdr:colOff>
      <xdr:row>25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A91922-950F-4FFA-841B-44CB64CBC9D4}"/>
            </a:ext>
          </a:extLst>
        </xdr:cNvPr>
        <xdr:cNvSpPr txBox="1"/>
      </xdr:nvSpPr>
      <xdr:spPr>
        <a:xfrm>
          <a:off x="5608320" y="385572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4. REGIONAL PERFORMANCE</a:t>
          </a:r>
        </a:p>
        <a:p>
          <a:r>
            <a:rPr lang="en-IN"/>
            <a:t> </a:t>
          </a:r>
          <a:r>
            <a:rPr lang="en-IN">
              <a:effectLst/>
            </a:rPr>
            <a:t>The West generated the highest regional sales at $710.2K,</a:t>
          </a:r>
          <a:r>
            <a:rPr lang="en-IN"/>
            <a:t> </a:t>
          </a:r>
          <a:r>
            <a:rPr lang="en-IN">
              <a:effectLst/>
            </a:rPr>
            <a:t>followed by the East at $669.5K. Together, these regions</a:t>
          </a:r>
          <a:r>
            <a:rPr lang="en-IN"/>
            <a:t> </a:t>
          </a:r>
          <a:r>
            <a:rPr lang="en-IN">
              <a:effectLst/>
            </a:rPr>
            <a:t>accounted for approximately 61.0% of total sales.</a:t>
          </a:r>
          <a:endParaRPr lang="en-IN" sz="1100"/>
        </a:p>
      </xdr:txBody>
    </xdr:sp>
    <xdr:clientData/>
  </xdr:twoCellAnchor>
  <xdr:twoCellAnchor>
    <xdr:from>
      <xdr:col>9</xdr:col>
      <xdr:colOff>693420</xdr:colOff>
      <xdr:row>6</xdr:row>
      <xdr:rowOff>15240</xdr:rowOff>
    </xdr:from>
    <xdr:to>
      <xdr:col>15</xdr:col>
      <xdr:colOff>228600</xdr:colOff>
      <xdr:row>10</xdr:row>
      <xdr:rowOff>137160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FD2CAB-B9B7-47CD-B705-39DFEC820FF8}"/>
            </a:ext>
          </a:extLst>
        </xdr:cNvPr>
        <xdr:cNvSpPr txBox="1"/>
      </xdr:nvSpPr>
      <xdr:spPr>
        <a:xfrm>
          <a:off x="9685020" y="111252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5. CUSTOMER SEGMENTS</a:t>
          </a:r>
          <a:r>
            <a:rPr lang="en-IN" b="1"/>
            <a:t> </a:t>
          </a:r>
        </a:p>
        <a:p>
          <a:r>
            <a:rPr lang="en-IN">
              <a:effectLst/>
            </a:rPr>
            <a:t>The Consumer segment generated $1.148M in sales,</a:t>
          </a:r>
          <a:r>
            <a:rPr lang="en-IN"/>
            <a:t> </a:t>
          </a:r>
          <a:r>
            <a:rPr lang="en-IN">
              <a:effectLst/>
            </a:rPr>
            <a:t>representing approximately 50.8% of total sales. Corporate</a:t>
          </a:r>
          <a:r>
            <a:rPr lang="en-IN"/>
            <a:t> </a:t>
          </a:r>
          <a:r>
            <a:rPr lang="en-IN">
              <a:effectLst/>
            </a:rPr>
            <a:t>and Home Office contributed 30.4% and 18.8%, respectively.</a:t>
          </a:r>
          <a:endParaRPr lang="en-IN" sz="1100"/>
        </a:p>
      </xdr:txBody>
    </xdr:sp>
    <xdr:clientData/>
  </xdr:twoCellAnchor>
  <xdr:twoCellAnchor>
    <xdr:from>
      <xdr:col>10</xdr:col>
      <xdr:colOff>0</xdr:colOff>
      <xdr:row>12</xdr:row>
      <xdr:rowOff>76200</xdr:rowOff>
    </xdr:from>
    <xdr:to>
      <xdr:col>15</xdr:col>
      <xdr:colOff>236220</xdr:colOff>
      <xdr:row>17</xdr:row>
      <xdr:rowOff>15240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1B0445-E669-477E-AF8E-1084469A9251}"/>
            </a:ext>
          </a:extLst>
        </xdr:cNvPr>
        <xdr:cNvSpPr txBox="1"/>
      </xdr:nvSpPr>
      <xdr:spPr>
        <a:xfrm>
          <a:off x="9692640" y="227076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6. MONTHLY TREND</a:t>
          </a:r>
        </a:p>
        <a:p>
          <a:r>
            <a:rPr lang="en-IN"/>
            <a:t> </a:t>
          </a:r>
          <a:r>
            <a:rPr lang="en-IN">
              <a:effectLst/>
            </a:rPr>
            <a:t>November 2018 was the strongest month with $117.9K in</a:t>
          </a:r>
          <a:r>
            <a:rPr lang="en-IN"/>
            <a:t> </a:t>
          </a:r>
          <a:r>
            <a:rPr lang="en-IN">
              <a:effectLst/>
            </a:rPr>
            <a:t>sales. Three of the five highest-sales months occurred in</a:t>
          </a:r>
          <a:r>
            <a:rPr lang="en-IN"/>
            <a:t> </a:t>
          </a:r>
          <a:r>
            <a:rPr lang="en-IN">
              <a:effectLst/>
            </a:rPr>
            <a:t>2018.</a:t>
          </a:r>
          <a:endParaRPr lang="en-IN" sz="1100"/>
        </a:p>
      </xdr:txBody>
    </xdr:sp>
    <xdr:clientData/>
  </xdr:twoCellAnchor>
  <xdr:twoCellAnchor>
    <xdr:from>
      <xdr:col>9</xdr:col>
      <xdr:colOff>693420</xdr:colOff>
      <xdr:row>18</xdr:row>
      <xdr:rowOff>91440</xdr:rowOff>
    </xdr:from>
    <xdr:to>
      <xdr:col>15</xdr:col>
      <xdr:colOff>228600</xdr:colOff>
      <xdr:row>23</xdr:row>
      <xdr:rowOff>30480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177922-CE63-4B64-9FE7-002F603DCD9C}"/>
            </a:ext>
          </a:extLst>
        </xdr:cNvPr>
        <xdr:cNvSpPr txBox="1"/>
      </xdr:nvSpPr>
      <xdr:spPr>
        <a:xfrm>
          <a:off x="9685020" y="3383280"/>
          <a:ext cx="3909060" cy="8534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effectLst/>
            </a:rPr>
            <a:t>7. ANOMALY OBSERVATION</a:t>
          </a:r>
        </a:p>
        <a:p>
          <a:r>
            <a:rPr lang="en-IN"/>
            <a:t> </a:t>
          </a:r>
          <a:r>
            <a:rPr lang="en-IN">
              <a:effectLst/>
            </a:rPr>
            <a:t>Using Mean + 3 Standard Deviations as the high-value</a:t>
          </a:r>
          <a:r>
            <a:rPr lang="en-IN"/>
            <a:t> </a:t>
          </a:r>
          <a:r>
            <a:rPr lang="en-IN">
              <a:effectLst/>
            </a:rPr>
            <a:t>threshold, 123 transactions (approximately 1.26% of all</a:t>
          </a:r>
          <a:r>
            <a:rPr lang="en-IN"/>
            <a:t> </a:t>
          </a:r>
          <a:r>
            <a:rPr lang="en-IN">
              <a:effectLst/>
            </a:rPr>
            <a:t>records) were identified as potential high-value anomalies.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3</xdr:row>
      <xdr:rowOff>19050</xdr:rowOff>
    </xdr:from>
    <xdr:to>
      <xdr:col>13</xdr:col>
      <xdr:colOff>563880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1F9D6-EB3C-BAFE-7343-25B1C297D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163830</xdr:rowOff>
    </xdr:from>
    <xdr:to>
      <xdr:col>18</xdr:col>
      <xdr:colOff>419100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45844-19FB-5C63-7933-73CE59F94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171450</xdr:rowOff>
    </xdr:from>
    <xdr:to>
      <xdr:col>13</xdr:col>
      <xdr:colOff>358140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9C481-1309-F202-BA0D-2180E371A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179070</xdr:rowOff>
    </xdr:from>
    <xdr:to>
      <xdr:col>15</xdr:col>
      <xdr:colOff>297180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38375-2CB7-A1BA-6C05-A7228ED3F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163830</xdr:rowOff>
    </xdr:from>
    <xdr:to>
      <xdr:col>14</xdr:col>
      <xdr:colOff>251460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F2D21-6F95-B76D-714B-7440E659A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179070</xdr:rowOff>
    </xdr:from>
    <xdr:to>
      <xdr:col>14</xdr:col>
      <xdr:colOff>7620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E63BA-CC63-E386-0B6C-50BF05252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171450</xdr:rowOff>
    </xdr:from>
    <xdr:to>
      <xdr:col>15</xdr:col>
      <xdr:colOff>586740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EBD5B-4A40-AF5F-B8DB-9EF1C5A43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3386</xdr:colOff>
      <xdr:row>17</xdr:row>
      <xdr:rowOff>4233</xdr:rowOff>
    </xdr:from>
    <xdr:to>
      <xdr:col>7</xdr:col>
      <xdr:colOff>1041399</xdr:colOff>
      <xdr:row>29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5425A1-0426-E0E2-1D5E-E273EB7D0E49}"/>
            </a:ext>
          </a:extLst>
        </xdr:cNvPr>
        <xdr:cNvSpPr txBox="1"/>
      </xdr:nvSpPr>
      <xdr:spPr>
        <a:xfrm>
          <a:off x="4414519" y="3170766"/>
          <a:ext cx="4365413" cy="223096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OBSERVATION</a:t>
          </a:r>
          <a:r>
            <a:rPr lang="en-IN" sz="1400" b="1" u="sng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:</a:t>
          </a:r>
        </a:p>
        <a:p>
          <a:endParaRPr lang="en-IN" sz="14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123 transactions exceeded the high-value anomaly threshold,</a:t>
          </a:r>
          <a:r>
            <a:rPr lang="en-IN" sz="14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400" b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representing approximately 1.26% of all records.</a:t>
          </a:r>
        </a:p>
        <a:p>
          <a:endParaRPr lang="en-IN" sz="1400" b="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400" b="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400" b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These transactions are statistically unusual because of their</a:t>
          </a:r>
          <a:r>
            <a:rPr lang="en-IN" sz="14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400" b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high sales values, but they should not automatically be treated</a:t>
          </a:r>
          <a:r>
            <a:rPr lang="en-IN" sz="14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400" b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as errors.</a:t>
          </a:r>
          <a:endParaRPr lang="en-IN" sz="14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6C0C-0BF1-44A1-A03D-74B9FCEF630A}">
  <dimension ref="A1:P14"/>
  <sheetViews>
    <sheetView workbookViewId="0">
      <selection activeCell="M27" sqref="M27"/>
    </sheetView>
  </sheetViews>
  <sheetFormatPr defaultRowHeight="14.4" x14ac:dyDescent="0.3"/>
  <cols>
    <col min="1" max="1" width="12.88671875" bestFit="1" customWidth="1"/>
    <col min="2" max="2" width="18.21875" customWidth="1"/>
    <col min="3" max="3" width="23.6640625" bestFit="1" customWidth="1"/>
    <col min="4" max="4" width="15" bestFit="1" customWidth="1"/>
    <col min="5" max="5" width="11.88671875" bestFit="1" customWidth="1"/>
    <col min="6" max="6" width="12.6640625" bestFit="1" customWidth="1"/>
    <col min="7" max="7" width="13.109375" bestFit="1" customWidth="1"/>
    <col min="9" max="9" width="14.77734375" customWidth="1"/>
    <col min="10" max="10" width="10.21875" customWidth="1"/>
    <col min="11" max="11" width="15" bestFit="1" customWidth="1"/>
    <col min="12" max="12" width="11.88671875" bestFit="1" customWidth="1"/>
  </cols>
  <sheetData>
    <row r="1" spans="1:16" ht="14.4" customHeight="1" x14ac:dyDescent="0.3">
      <c r="A1" s="31" t="s">
        <v>117</v>
      </c>
      <c r="B1" s="32"/>
      <c r="C1" s="32"/>
      <c r="D1" s="32"/>
      <c r="F1" s="33" t="s">
        <v>167</v>
      </c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4.4" customHeight="1" x14ac:dyDescent="0.3">
      <c r="A2" s="32"/>
      <c r="B2" s="32"/>
      <c r="C2" s="32"/>
      <c r="D2" s="32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4" spans="1:16" x14ac:dyDescent="0.3">
      <c r="B4" s="27" t="s">
        <v>118</v>
      </c>
      <c r="C4" s="27" t="s">
        <v>119</v>
      </c>
    </row>
    <row r="5" spans="1:16" x14ac:dyDescent="0.3">
      <c r="B5" s="4" t="s">
        <v>120</v>
      </c>
      <c r="C5" s="8">
        <v>9800</v>
      </c>
    </row>
    <row r="6" spans="1:16" x14ac:dyDescent="0.3">
      <c r="B6" s="4" t="s">
        <v>121</v>
      </c>
      <c r="C6" s="8">
        <v>4922</v>
      </c>
    </row>
    <row r="7" spans="1:16" x14ac:dyDescent="0.3">
      <c r="B7" s="4" t="s">
        <v>166</v>
      </c>
      <c r="C7" s="4">
        <v>793</v>
      </c>
    </row>
    <row r="8" spans="1:16" x14ac:dyDescent="0.3">
      <c r="B8" s="4" t="s">
        <v>122</v>
      </c>
      <c r="C8" s="5">
        <v>2261536.7799999998</v>
      </c>
    </row>
    <row r="9" spans="1:16" x14ac:dyDescent="0.3">
      <c r="B9" s="4" t="s">
        <v>149</v>
      </c>
      <c r="C9" s="6">
        <v>230.77</v>
      </c>
    </row>
    <row r="10" spans="1:16" x14ac:dyDescent="0.3">
      <c r="B10" s="4" t="s">
        <v>125</v>
      </c>
      <c r="C10" s="6">
        <v>0.44</v>
      </c>
    </row>
    <row r="11" spans="1:16" x14ac:dyDescent="0.3">
      <c r="B11" s="4" t="s">
        <v>124</v>
      </c>
      <c r="C11" s="6">
        <v>22638.48</v>
      </c>
    </row>
    <row r="12" spans="1:16" x14ac:dyDescent="0.3">
      <c r="B12" s="4" t="s">
        <v>126</v>
      </c>
      <c r="C12" s="7">
        <v>42007</v>
      </c>
    </row>
    <row r="13" spans="1:16" x14ac:dyDescent="0.3">
      <c r="B13" s="4" t="s">
        <v>127</v>
      </c>
      <c r="C13" s="7">
        <v>43464</v>
      </c>
    </row>
    <row r="14" spans="1:16" x14ac:dyDescent="0.3">
      <c r="B14" s="4" t="s">
        <v>128</v>
      </c>
      <c r="C14" s="8">
        <v>1457</v>
      </c>
    </row>
  </sheetData>
  <mergeCells count="2">
    <mergeCell ref="A1:D2"/>
    <mergeCell ref="F1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2FD4-AD41-4A7C-A922-FC20831C43C2}">
  <dimension ref="A1:C8"/>
  <sheetViews>
    <sheetView workbookViewId="0">
      <selection activeCell="M26" sqref="M26"/>
    </sheetView>
  </sheetViews>
  <sheetFormatPr defaultRowHeight="14.4" x14ac:dyDescent="0.3"/>
  <cols>
    <col min="1" max="1" width="11.6640625" customWidth="1"/>
    <col min="2" max="2" width="13.21875" customWidth="1"/>
    <col min="3" max="3" width="15.109375" customWidth="1"/>
  </cols>
  <sheetData>
    <row r="1" spans="1:3" ht="14.4" customHeight="1" x14ac:dyDescent="0.3">
      <c r="A1" s="34" t="s">
        <v>130</v>
      </c>
      <c r="B1" s="34"/>
      <c r="C1" s="34"/>
    </row>
    <row r="2" spans="1:3" ht="14.4" customHeight="1" x14ac:dyDescent="0.3">
      <c r="A2" s="34"/>
      <c r="B2" s="34"/>
      <c r="C2" s="34"/>
    </row>
    <row r="3" spans="1:3" s="13" customFormat="1" ht="17.399999999999999" customHeight="1" x14ac:dyDescent="0.5">
      <c r="A3" s="12"/>
      <c r="B3" s="12"/>
    </row>
    <row r="4" spans="1:3" x14ac:dyDescent="0.3">
      <c r="A4" s="27" t="s">
        <v>129</v>
      </c>
      <c r="B4" s="27" t="s">
        <v>131</v>
      </c>
      <c r="C4" s="27" t="s">
        <v>122</v>
      </c>
    </row>
    <row r="5" spans="1:3" x14ac:dyDescent="0.3">
      <c r="A5" s="4">
        <v>2015</v>
      </c>
      <c r="B5" s="11">
        <v>947</v>
      </c>
      <c r="C5" s="6">
        <v>479856.21</v>
      </c>
    </row>
    <row r="6" spans="1:3" x14ac:dyDescent="0.3">
      <c r="A6" s="4">
        <v>2016</v>
      </c>
      <c r="B6" s="11">
        <v>1019</v>
      </c>
      <c r="C6" s="6">
        <v>459436.01</v>
      </c>
    </row>
    <row r="7" spans="1:3" x14ac:dyDescent="0.3">
      <c r="A7" s="4">
        <v>2017</v>
      </c>
      <c r="B7" s="11">
        <v>1295</v>
      </c>
      <c r="C7" s="6">
        <v>600192.55000000005</v>
      </c>
    </row>
    <row r="8" spans="1:3" x14ac:dyDescent="0.3">
      <c r="A8" s="4">
        <v>2018</v>
      </c>
      <c r="B8" s="11">
        <v>1661</v>
      </c>
      <c r="C8" s="6">
        <v>722052.02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228F-1528-424A-8FEC-11BBF8CEA762}">
  <dimension ref="A1:C52"/>
  <sheetViews>
    <sheetView workbookViewId="0">
      <selection activeCell="T14" sqref="T14"/>
    </sheetView>
  </sheetViews>
  <sheetFormatPr defaultRowHeight="14.4" x14ac:dyDescent="0.3"/>
  <cols>
    <col min="1" max="1" width="14.6640625" style="2" customWidth="1"/>
    <col min="2" max="2" width="14.6640625" style="3" customWidth="1"/>
    <col min="3" max="3" width="14.6640625" customWidth="1"/>
  </cols>
  <sheetData>
    <row r="1" spans="1:3" x14ac:dyDescent="0.3">
      <c r="A1" s="35" t="s">
        <v>147</v>
      </c>
      <c r="B1" s="35"/>
      <c r="C1" s="35"/>
    </row>
    <row r="2" spans="1:3" x14ac:dyDescent="0.3">
      <c r="A2" s="35"/>
      <c r="B2" s="35"/>
      <c r="C2" s="35"/>
    </row>
    <row r="4" spans="1:3" x14ac:dyDescent="0.3">
      <c r="A4" s="29" t="s">
        <v>145</v>
      </c>
      <c r="B4" s="28" t="s">
        <v>122</v>
      </c>
      <c r="C4" s="30" t="s">
        <v>146</v>
      </c>
    </row>
    <row r="5" spans="1:3" x14ac:dyDescent="0.3">
      <c r="A5" s="15" t="s">
        <v>47</v>
      </c>
      <c r="B5" s="6">
        <v>14205.71</v>
      </c>
      <c r="C5" s="18">
        <f>DATE(LEFT(A5,4),RIGHT(A5,2),1)</f>
        <v>42005</v>
      </c>
    </row>
    <row r="6" spans="1:3" x14ac:dyDescent="0.3">
      <c r="A6" s="15" t="s">
        <v>48</v>
      </c>
      <c r="B6" s="6">
        <v>4519.8900000000003</v>
      </c>
      <c r="C6" s="18">
        <f t="shared" ref="C6:C52" si="0">DATE(LEFT(A6,4),RIGHT(A6,2),1)</f>
        <v>42036</v>
      </c>
    </row>
    <row r="7" spans="1:3" x14ac:dyDescent="0.3">
      <c r="A7" s="15" t="s">
        <v>49</v>
      </c>
      <c r="B7" s="6">
        <v>55205.8</v>
      </c>
      <c r="C7" s="18">
        <f t="shared" si="0"/>
        <v>42064</v>
      </c>
    </row>
    <row r="8" spans="1:3" x14ac:dyDescent="0.3">
      <c r="A8" s="15" t="s">
        <v>50</v>
      </c>
      <c r="B8" s="6">
        <v>27906.86</v>
      </c>
      <c r="C8" s="18">
        <f t="shared" si="0"/>
        <v>42095</v>
      </c>
    </row>
    <row r="9" spans="1:3" x14ac:dyDescent="0.3">
      <c r="A9" s="15" t="s">
        <v>51</v>
      </c>
      <c r="B9" s="6">
        <v>23644.3</v>
      </c>
      <c r="C9" s="18">
        <f t="shared" si="0"/>
        <v>42125</v>
      </c>
    </row>
    <row r="10" spans="1:3" x14ac:dyDescent="0.3">
      <c r="A10" s="15" t="s">
        <v>52</v>
      </c>
      <c r="B10" s="6">
        <v>34322.94</v>
      </c>
      <c r="C10" s="18">
        <f t="shared" si="0"/>
        <v>42156</v>
      </c>
    </row>
    <row r="11" spans="1:3" x14ac:dyDescent="0.3">
      <c r="A11" s="15" t="s">
        <v>53</v>
      </c>
      <c r="B11" s="6">
        <v>33781.54</v>
      </c>
      <c r="C11" s="18">
        <f t="shared" si="0"/>
        <v>42186</v>
      </c>
    </row>
    <row r="12" spans="1:3" x14ac:dyDescent="0.3">
      <c r="A12" s="15" t="s">
        <v>54</v>
      </c>
      <c r="B12" s="6">
        <v>27117.54</v>
      </c>
      <c r="C12" s="18">
        <f t="shared" si="0"/>
        <v>42217</v>
      </c>
    </row>
    <row r="13" spans="1:3" x14ac:dyDescent="0.3">
      <c r="A13" s="15" t="s">
        <v>55</v>
      </c>
      <c r="B13" s="6">
        <v>81623.53</v>
      </c>
      <c r="C13" s="18">
        <f t="shared" si="0"/>
        <v>42248</v>
      </c>
    </row>
    <row r="14" spans="1:3" x14ac:dyDescent="0.3">
      <c r="A14" s="15" t="s">
        <v>56</v>
      </c>
      <c r="B14" s="6">
        <v>31453.39</v>
      </c>
      <c r="C14" s="18">
        <f t="shared" si="0"/>
        <v>42278</v>
      </c>
    </row>
    <row r="15" spans="1:3" x14ac:dyDescent="0.3">
      <c r="A15" s="15" t="s">
        <v>57</v>
      </c>
      <c r="B15" s="6">
        <v>77907.66</v>
      </c>
      <c r="C15" s="18">
        <f t="shared" si="0"/>
        <v>42309</v>
      </c>
    </row>
    <row r="16" spans="1:3" x14ac:dyDescent="0.3">
      <c r="A16" s="15" t="s">
        <v>58</v>
      </c>
      <c r="B16" s="6">
        <v>68167.06</v>
      </c>
      <c r="C16" s="18">
        <f t="shared" si="0"/>
        <v>42339</v>
      </c>
    </row>
    <row r="17" spans="1:3" x14ac:dyDescent="0.3">
      <c r="A17" s="15" t="s">
        <v>59</v>
      </c>
      <c r="B17" s="6">
        <v>18066.96</v>
      </c>
      <c r="C17" s="18">
        <f t="shared" si="0"/>
        <v>42370</v>
      </c>
    </row>
    <row r="18" spans="1:3" x14ac:dyDescent="0.3">
      <c r="A18" s="15" t="s">
        <v>60</v>
      </c>
      <c r="B18" s="6">
        <v>11951.41</v>
      </c>
      <c r="C18" s="18">
        <f t="shared" si="0"/>
        <v>42401</v>
      </c>
    </row>
    <row r="19" spans="1:3" x14ac:dyDescent="0.3">
      <c r="A19" s="17" t="s">
        <v>61</v>
      </c>
      <c r="B19" s="6">
        <v>32339.32</v>
      </c>
      <c r="C19" s="18">
        <f t="shared" si="0"/>
        <v>42430</v>
      </c>
    </row>
    <row r="20" spans="1:3" x14ac:dyDescent="0.3">
      <c r="A20" s="17" t="s">
        <v>62</v>
      </c>
      <c r="B20" s="6">
        <v>34154.47</v>
      </c>
      <c r="C20" s="18">
        <f t="shared" si="0"/>
        <v>42461</v>
      </c>
    </row>
    <row r="21" spans="1:3" x14ac:dyDescent="0.3">
      <c r="A21" s="17" t="s">
        <v>63</v>
      </c>
      <c r="B21" s="6">
        <v>29959.53</v>
      </c>
      <c r="C21" s="18">
        <f t="shared" si="0"/>
        <v>42491</v>
      </c>
    </row>
    <row r="22" spans="1:3" x14ac:dyDescent="0.3">
      <c r="A22" s="17" t="s">
        <v>64</v>
      </c>
      <c r="B22" s="6">
        <v>23599.37</v>
      </c>
      <c r="C22" s="18">
        <f t="shared" si="0"/>
        <v>42522</v>
      </c>
    </row>
    <row r="23" spans="1:3" x14ac:dyDescent="0.3">
      <c r="A23" s="17" t="s">
        <v>65</v>
      </c>
      <c r="B23" s="6">
        <v>28608.26</v>
      </c>
      <c r="C23" s="18">
        <f t="shared" si="0"/>
        <v>42552</v>
      </c>
    </row>
    <row r="24" spans="1:3" x14ac:dyDescent="0.3">
      <c r="A24" s="17" t="s">
        <v>66</v>
      </c>
      <c r="B24" s="6">
        <v>36818.339999999997</v>
      </c>
      <c r="C24" s="18">
        <f t="shared" si="0"/>
        <v>42583</v>
      </c>
    </row>
    <row r="25" spans="1:3" x14ac:dyDescent="0.3">
      <c r="A25" s="17" t="s">
        <v>67</v>
      </c>
      <c r="B25" s="6">
        <v>63133.61</v>
      </c>
      <c r="C25" s="18">
        <f t="shared" si="0"/>
        <v>42614</v>
      </c>
    </row>
    <row r="26" spans="1:3" x14ac:dyDescent="0.3">
      <c r="A26" s="17" t="s">
        <v>68</v>
      </c>
      <c r="B26" s="6">
        <v>31011.74</v>
      </c>
      <c r="C26" s="18">
        <f t="shared" si="0"/>
        <v>42644</v>
      </c>
    </row>
    <row r="27" spans="1:3" x14ac:dyDescent="0.3">
      <c r="A27" s="17" t="s">
        <v>69</v>
      </c>
      <c r="B27" s="6">
        <v>75249.399999999994</v>
      </c>
      <c r="C27" s="18">
        <f t="shared" si="0"/>
        <v>42675</v>
      </c>
    </row>
    <row r="28" spans="1:3" x14ac:dyDescent="0.3">
      <c r="A28" s="17" t="s">
        <v>70</v>
      </c>
      <c r="B28" s="6">
        <v>74543.600000000006</v>
      </c>
      <c r="C28" s="18">
        <f t="shared" si="0"/>
        <v>42705</v>
      </c>
    </row>
    <row r="29" spans="1:3" x14ac:dyDescent="0.3">
      <c r="A29" s="17" t="s">
        <v>71</v>
      </c>
      <c r="B29" s="6">
        <v>18542.490000000002</v>
      </c>
      <c r="C29" s="18">
        <f t="shared" si="0"/>
        <v>42736</v>
      </c>
    </row>
    <row r="30" spans="1:3" x14ac:dyDescent="0.3">
      <c r="A30" s="17" t="s">
        <v>72</v>
      </c>
      <c r="B30" s="6">
        <v>22978.82</v>
      </c>
      <c r="C30" s="18">
        <f t="shared" si="0"/>
        <v>42767</v>
      </c>
    </row>
    <row r="31" spans="1:3" x14ac:dyDescent="0.3">
      <c r="A31" s="17" t="s">
        <v>73</v>
      </c>
      <c r="B31" s="6">
        <v>51165.06</v>
      </c>
      <c r="C31" s="18">
        <f t="shared" si="0"/>
        <v>42795</v>
      </c>
    </row>
    <row r="32" spans="1:3" x14ac:dyDescent="0.3">
      <c r="A32" s="17" t="s">
        <v>74</v>
      </c>
      <c r="B32" s="6">
        <v>38679.769999999997</v>
      </c>
      <c r="C32" s="18">
        <f t="shared" si="0"/>
        <v>42826</v>
      </c>
    </row>
    <row r="33" spans="1:3" x14ac:dyDescent="0.3">
      <c r="A33" s="17" t="s">
        <v>75</v>
      </c>
      <c r="B33" s="6">
        <v>56656.91</v>
      </c>
      <c r="C33" s="18">
        <f t="shared" si="0"/>
        <v>42856</v>
      </c>
    </row>
    <row r="34" spans="1:3" x14ac:dyDescent="0.3">
      <c r="A34" s="17" t="s">
        <v>76</v>
      </c>
      <c r="B34" s="6">
        <v>39724.49</v>
      </c>
      <c r="C34" s="18">
        <f t="shared" si="0"/>
        <v>42887</v>
      </c>
    </row>
    <row r="35" spans="1:3" x14ac:dyDescent="0.3">
      <c r="A35" s="17" t="s">
        <v>77</v>
      </c>
      <c r="B35" s="6">
        <v>38320.78</v>
      </c>
      <c r="C35" s="18">
        <f t="shared" si="0"/>
        <v>42917</v>
      </c>
    </row>
    <row r="36" spans="1:3" x14ac:dyDescent="0.3">
      <c r="A36" s="17" t="s">
        <v>78</v>
      </c>
      <c r="B36" s="6">
        <v>30542.2</v>
      </c>
      <c r="C36" s="18">
        <f t="shared" si="0"/>
        <v>42948</v>
      </c>
    </row>
    <row r="37" spans="1:3" x14ac:dyDescent="0.3">
      <c r="A37" s="17" t="s">
        <v>79</v>
      </c>
      <c r="B37" s="6">
        <v>69193.39</v>
      </c>
      <c r="C37" s="18">
        <f t="shared" si="0"/>
        <v>42979</v>
      </c>
    </row>
    <row r="38" spans="1:3" x14ac:dyDescent="0.3">
      <c r="A38" s="17" t="s">
        <v>80</v>
      </c>
      <c r="B38" s="6">
        <v>59583.03</v>
      </c>
      <c r="C38" s="18">
        <f t="shared" si="0"/>
        <v>43009</v>
      </c>
    </row>
    <row r="39" spans="1:3" x14ac:dyDescent="0.3">
      <c r="A39" s="17" t="s">
        <v>81</v>
      </c>
      <c r="B39" s="6">
        <v>79066.5</v>
      </c>
      <c r="C39" s="18">
        <f t="shared" si="0"/>
        <v>43040</v>
      </c>
    </row>
    <row r="40" spans="1:3" x14ac:dyDescent="0.3">
      <c r="A40" s="17" t="s">
        <v>82</v>
      </c>
      <c r="B40" s="6">
        <v>95739.12</v>
      </c>
      <c r="C40" s="18">
        <f t="shared" si="0"/>
        <v>43070</v>
      </c>
    </row>
    <row r="41" spans="1:3" x14ac:dyDescent="0.3">
      <c r="A41" s="17" t="s">
        <v>83</v>
      </c>
      <c r="B41" s="6">
        <v>43476.47</v>
      </c>
      <c r="C41" s="18">
        <f t="shared" si="0"/>
        <v>43101</v>
      </c>
    </row>
    <row r="42" spans="1:3" x14ac:dyDescent="0.3">
      <c r="A42" s="17" t="s">
        <v>84</v>
      </c>
      <c r="B42" s="6">
        <v>19921</v>
      </c>
      <c r="C42" s="18">
        <f t="shared" si="0"/>
        <v>43132</v>
      </c>
    </row>
    <row r="43" spans="1:3" x14ac:dyDescent="0.3">
      <c r="A43" s="17" t="s">
        <v>85</v>
      </c>
      <c r="B43" s="6">
        <v>58863.41</v>
      </c>
      <c r="C43" s="18">
        <f t="shared" si="0"/>
        <v>43160</v>
      </c>
    </row>
    <row r="44" spans="1:3" x14ac:dyDescent="0.3">
      <c r="A44" s="17" t="s">
        <v>86</v>
      </c>
      <c r="B44" s="6">
        <v>35541.910000000003</v>
      </c>
      <c r="C44" s="18">
        <f t="shared" si="0"/>
        <v>43191</v>
      </c>
    </row>
    <row r="45" spans="1:3" x14ac:dyDescent="0.3">
      <c r="A45" s="17" t="s">
        <v>87</v>
      </c>
      <c r="B45" s="6">
        <v>43825.98</v>
      </c>
      <c r="C45" s="18">
        <f t="shared" si="0"/>
        <v>43221</v>
      </c>
    </row>
    <row r="46" spans="1:3" x14ac:dyDescent="0.3">
      <c r="A46" s="17" t="s">
        <v>88</v>
      </c>
      <c r="B46" s="6">
        <v>48190.73</v>
      </c>
      <c r="C46" s="18">
        <f t="shared" si="0"/>
        <v>43252</v>
      </c>
    </row>
    <row r="47" spans="1:3" x14ac:dyDescent="0.3">
      <c r="A47" s="17" t="s">
        <v>89</v>
      </c>
      <c r="B47" s="6">
        <v>44825.1</v>
      </c>
      <c r="C47" s="18">
        <f t="shared" si="0"/>
        <v>43282</v>
      </c>
    </row>
    <row r="48" spans="1:3" x14ac:dyDescent="0.3">
      <c r="A48" s="17" t="s">
        <v>90</v>
      </c>
      <c r="B48" s="6">
        <v>62837.85</v>
      </c>
      <c r="C48" s="18">
        <f t="shared" si="0"/>
        <v>43313</v>
      </c>
    </row>
    <row r="49" spans="1:3" x14ac:dyDescent="0.3">
      <c r="A49" s="17" t="s">
        <v>91</v>
      </c>
      <c r="B49" s="6">
        <v>86152.89</v>
      </c>
      <c r="C49" s="18">
        <f t="shared" si="0"/>
        <v>43344</v>
      </c>
    </row>
    <row r="50" spans="1:3" x14ac:dyDescent="0.3">
      <c r="A50" s="17" t="s">
        <v>92</v>
      </c>
      <c r="B50" s="6">
        <v>77448.13</v>
      </c>
      <c r="C50" s="18">
        <f t="shared" si="0"/>
        <v>43374</v>
      </c>
    </row>
    <row r="51" spans="1:3" x14ac:dyDescent="0.3">
      <c r="A51" s="17" t="s">
        <v>93</v>
      </c>
      <c r="B51" s="6">
        <v>117938.16</v>
      </c>
      <c r="C51" s="18">
        <f t="shared" si="0"/>
        <v>43405</v>
      </c>
    </row>
    <row r="52" spans="1:3" x14ac:dyDescent="0.3">
      <c r="A52" s="17" t="s">
        <v>94</v>
      </c>
      <c r="B52" s="6">
        <v>83030.39</v>
      </c>
      <c r="C52" s="18">
        <f t="shared" si="0"/>
        <v>43435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A7B2-7974-4DB1-A87B-11C8F6C38A30}">
  <dimension ref="A1:C7"/>
  <sheetViews>
    <sheetView workbookViewId="0">
      <selection activeCell="H31" sqref="H31"/>
    </sheetView>
  </sheetViews>
  <sheetFormatPr defaultRowHeight="14.4" x14ac:dyDescent="0.3"/>
  <cols>
    <col min="1" max="3" width="12.77734375" customWidth="1"/>
    <col min="4" max="4" width="12.33203125" bestFit="1" customWidth="1"/>
  </cols>
  <sheetData>
    <row r="1" spans="1:3" ht="14.4" customHeight="1" x14ac:dyDescent="0.3">
      <c r="A1" s="36" t="s">
        <v>133</v>
      </c>
      <c r="B1" s="36"/>
      <c r="C1" s="36"/>
    </row>
    <row r="2" spans="1:3" ht="14.4" customHeight="1" x14ac:dyDescent="0.3">
      <c r="A2" s="36"/>
      <c r="B2" s="36"/>
      <c r="C2" s="36"/>
    </row>
    <row r="3" spans="1:3" ht="14.4" customHeight="1" x14ac:dyDescent="0.3">
      <c r="A3" s="14"/>
      <c r="B3" s="14"/>
      <c r="C3" s="14"/>
    </row>
    <row r="4" spans="1:3" ht="15.6" customHeight="1" x14ac:dyDescent="0.3">
      <c r="A4" s="27" t="s">
        <v>132</v>
      </c>
      <c r="B4" s="27" t="s">
        <v>122</v>
      </c>
      <c r="C4" s="27" t="s">
        <v>123</v>
      </c>
    </row>
    <row r="5" spans="1:3" x14ac:dyDescent="0.3">
      <c r="A5" s="4" t="s">
        <v>0</v>
      </c>
      <c r="B5" s="6">
        <v>827455.87</v>
      </c>
      <c r="C5" s="6">
        <v>456.4</v>
      </c>
    </row>
    <row r="6" spans="1:3" x14ac:dyDescent="0.3">
      <c r="A6" s="4" t="s">
        <v>1</v>
      </c>
      <c r="B6" s="6">
        <v>728658.58</v>
      </c>
      <c r="C6" s="6">
        <v>350.65</v>
      </c>
    </row>
    <row r="7" spans="1:3" x14ac:dyDescent="0.3">
      <c r="A7" s="4" t="s">
        <v>2</v>
      </c>
      <c r="B7" s="6">
        <v>705422.33</v>
      </c>
      <c r="C7" s="6">
        <v>119.38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648B-74E9-4F57-A6F1-8477E8CB9176}">
  <dimension ref="A1:C21"/>
  <sheetViews>
    <sheetView workbookViewId="0">
      <selection activeCell="K31" sqref="K31"/>
    </sheetView>
  </sheetViews>
  <sheetFormatPr defaultRowHeight="14.4" x14ac:dyDescent="0.3"/>
  <cols>
    <col min="1" max="1" width="12.109375" customWidth="1"/>
    <col min="2" max="2" width="11.5546875" customWidth="1"/>
    <col min="3" max="3" width="15" customWidth="1"/>
  </cols>
  <sheetData>
    <row r="1" spans="1:3" x14ac:dyDescent="0.3">
      <c r="A1" s="36" t="s">
        <v>135</v>
      </c>
      <c r="B1" s="36"/>
      <c r="C1" s="36"/>
    </row>
    <row r="2" spans="1:3" x14ac:dyDescent="0.3">
      <c r="A2" s="36"/>
      <c r="B2" s="36"/>
      <c r="C2" s="36"/>
    </row>
    <row r="4" spans="1:3" x14ac:dyDescent="0.3">
      <c r="A4" s="27" t="s">
        <v>134</v>
      </c>
      <c r="B4" s="27" t="s">
        <v>122</v>
      </c>
    </row>
    <row r="5" spans="1:3" x14ac:dyDescent="0.3">
      <c r="A5" s="4" t="s">
        <v>3</v>
      </c>
      <c r="B5" s="6">
        <v>327782.45</v>
      </c>
    </row>
    <row r="6" spans="1:3" x14ac:dyDescent="0.3">
      <c r="A6" s="4" t="s">
        <v>4</v>
      </c>
      <c r="B6" s="6">
        <v>322822.73</v>
      </c>
    </row>
    <row r="7" spans="1:3" x14ac:dyDescent="0.3">
      <c r="A7" s="4" t="s">
        <v>5</v>
      </c>
      <c r="B7" s="6">
        <v>219343.39</v>
      </c>
    </row>
    <row r="8" spans="1:3" x14ac:dyDescent="0.3">
      <c r="A8" s="4" t="s">
        <v>6</v>
      </c>
      <c r="B8" s="6">
        <v>202810.63</v>
      </c>
    </row>
    <row r="9" spans="1:3" x14ac:dyDescent="0.3">
      <c r="A9" s="4" t="s">
        <v>7</v>
      </c>
      <c r="B9" s="6">
        <v>200028.79</v>
      </c>
    </row>
    <row r="10" spans="1:3" x14ac:dyDescent="0.3">
      <c r="A10" s="4" t="s">
        <v>8</v>
      </c>
      <c r="B10" s="6">
        <v>189238.63</v>
      </c>
    </row>
    <row r="11" spans="1:3" x14ac:dyDescent="0.3">
      <c r="A11" s="4" t="s">
        <v>9</v>
      </c>
      <c r="B11" s="6">
        <v>164186.70000000001</v>
      </c>
    </row>
    <row r="12" spans="1:3" x14ac:dyDescent="0.3">
      <c r="A12" s="4" t="s">
        <v>10</v>
      </c>
      <c r="B12" s="6">
        <v>146248.09</v>
      </c>
    </row>
    <row r="13" spans="1:3" x14ac:dyDescent="0.3">
      <c r="A13" s="4" t="s">
        <v>11</v>
      </c>
      <c r="B13" s="6">
        <v>113813.2</v>
      </c>
    </row>
    <row r="14" spans="1:3" x14ac:dyDescent="0.3">
      <c r="A14" s="4" t="s">
        <v>12</v>
      </c>
      <c r="B14" s="6">
        <v>104618.4</v>
      </c>
    </row>
    <row r="15" spans="1:3" x14ac:dyDescent="0.3">
      <c r="A15" s="4" t="s">
        <v>13</v>
      </c>
      <c r="B15" s="6">
        <v>89212.02</v>
      </c>
    </row>
    <row r="16" spans="1:3" x14ac:dyDescent="0.3">
      <c r="A16" s="4" t="s">
        <v>14</v>
      </c>
      <c r="B16" s="6">
        <v>76828.3</v>
      </c>
    </row>
    <row r="17" spans="1:2" x14ac:dyDescent="0.3">
      <c r="A17" s="4" t="s">
        <v>15</v>
      </c>
      <c r="B17" s="6">
        <v>46420.31</v>
      </c>
    </row>
    <row r="18" spans="1:2" x14ac:dyDescent="0.3">
      <c r="A18" s="4" t="s">
        <v>16</v>
      </c>
      <c r="B18" s="6">
        <v>26705.41</v>
      </c>
    </row>
    <row r="19" spans="1:2" x14ac:dyDescent="0.3">
      <c r="A19" s="4" t="s">
        <v>17</v>
      </c>
      <c r="B19" s="6">
        <v>16128.05</v>
      </c>
    </row>
    <row r="20" spans="1:2" x14ac:dyDescent="0.3">
      <c r="A20" s="4" t="s">
        <v>18</v>
      </c>
      <c r="B20" s="6">
        <v>12347.73</v>
      </c>
    </row>
    <row r="21" spans="1:2" x14ac:dyDescent="0.3">
      <c r="A21" s="4" t="s">
        <v>19</v>
      </c>
      <c r="B21" s="6">
        <v>3001.96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50F8-F81A-4B54-B82E-85EAB0A2541D}">
  <dimension ref="A1:C8"/>
  <sheetViews>
    <sheetView workbookViewId="0">
      <selection activeCell="K31" sqref="K31"/>
    </sheetView>
  </sheetViews>
  <sheetFormatPr defaultRowHeight="14.4" x14ac:dyDescent="0.3"/>
  <cols>
    <col min="1" max="1" width="8" customWidth="1"/>
    <col min="2" max="2" width="13.5546875" customWidth="1"/>
    <col min="3" max="3" width="11" customWidth="1"/>
  </cols>
  <sheetData>
    <row r="1" spans="1:3" x14ac:dyDescent="0.3">
      <c r="A1" s="34" t="s">
        <v>137</v>
      </c>
      <c r="B1" s="34"/>
      <c r="C1" s="34"/>
    </row>
    <row r="2" spans="1:3" x14ac:dyDescent="0.3">
      <c r="A2" s="34"/>
      <c r="B2" s="34"/>
      <c r="C2" s="34"/>
    </row>
    <row r="4" spans="1:3" x14ac:dyDescent="0.3">
      <c r="A4" s="27" t="s">
        <v>136</v>
      </c>
      <c r="B4" s="27" t="s">
        <v>131</v>
      </c>
      <c r="C4" s="27" t="s">
        <v>122</v>
      </c>
    </row>
    <row r="5" spans="1:3" x14ac:dyDescent="0.3">
      <c r="A5" s="4" t="s">
        <v>20</v>
      </c>
      <c r="B5" s="11">
        <v>1587</v>
      </c>
      <c r="C5" s="6">
        <v>710219.68</v>
      </c>
    </row>
    <row r="6" spans="1:3" x14ac:dyDescent="0.3">
      <c r="A6" s="4" t="s">
        <v>21</v>
      </c>
      <c r="B6" s="11">
        <v>1369</v>
      </c>
      <c r="C6" s="6">
        <v>669518.73</v>
      </c>
    </row>
    <row r="7" spans="1:3" x14ac:dyDescent="0.3">
      <c r="A7" s="4" t="s">
        <v>22</v>
      </c>
      <c r="B7" s="11">
        <v>1156</v>
      </c>
      <c r="C7" s="6">
        <v>492646.91</v>
      </c>
    </row>
    <row r="8" spans="1:3" x14ac:dyDescent="0.3">
      <c r="A8" s="4" t="s">
        <v>23</v>
      </c>
      <c r="B8" s="11">
        <v>810</v>
      </c>
      <c r="C8" s="6">
        <v>389151.46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45C7-CDA6-4C6C-8366-5F4E40068699}">
  <dimension ref="A1:C7"/>
  <sheetViews>
    <sheetView workbookViewId="0">
      <selection activeCell="P24" sqref="P24"/>
    </sheetView>
  </sheetViews>
  <sheetFormatPr defaultRowHeight="14.4" x14ac:dyDescent="0.3"/>
  <cols>
    <col min="1" max="1" width="11.109375" bestFit="1" customWidth="1"/>
    <col min="2" max="2" width="9.77734375" bestFit="1" customWidth="1"/>
    <col min="3" max="3" width="12.6640625" bestFit="1" customWidth="1"/>
  </cols>
  <sheetData>
    <row r="1" spans="1:3" x14ac:dyDescent="0.3">
      <c r="A1" s="36" t="s">
        <v>140</v>
      </c>
      <c r="B1" s="36"/>
      <c r="C1" s="36"/>
    </row>
    <row r="2" spans="1:3" x14ac:dyDescent="0.3">
      <c r="A2" s="36"/>
      <c r="B2" s="36"/>
      <c r="C2" s="36"/>
    </row>
    <row r="4" spans="1:3" x14ac:dyDescent="0.3">
      <c r="A4" s="24" t="s">
        <v>138</v>
      </c>
      <c r="B4" s="24" t="s">
        <v>139</v>
      </c>
      <c r="C4" s="24" t="s">
        <v>122</v>
      </c>
    </row>
    <row r="5" spans="1:3" x14ac:dyDescent="0.3">
      <c r="A5" t="s">
        <v>24</v>
      </c>
      <c r="B5">
        <v>409</v>
      </c>
      <c r="C5" s="3">
        <v>1148060.53</v>
      </c>
    </row>
    <row r="6" spans="1:3" x14ac:dyDescent="0.3">
      <c r="A6" t="s">
        <v>25</v>
      </c>
      <c r="B6">
        <v>236</v>
      </c>
      <c r="C6" s="3">
        <v>688494.07</v>
      </c>
    </row>
    <row r="7" spans="1:3" x14ac:dyDescent="0.3">
      <c r="A7" t="s">
        <v>26</v>
      </c>
      <c r="B7">
        <v>148</v>
      </c>
      <c r="C7" s="3">
        <v>424982.18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BDB8-7CB0-4F65-95E4-0C9DED1E87AF}">
  <dimension ref="A1:C14"/>
  <sheetViews>
    <sheetView workbookViewId="0">
      <selection activeCell="S21" sqref="S21"/>
    </sheetView>
  </sheetViews>
  <sheetFormatPr defaultRowHeight="14.4" x14ac:dyDescent="0.3"/>
  <cols>
    <col min="1" max="2" width="11.33203125" customWidth="1"/>
  </cols>
  <sheetData>
    <row r="1" spans="1:3" x14ac:dyDescent="0.3">
      <c r="A1" s="36" t="s">
        <v>142</v>
      </c>
      <c r="B1" s="36"/>
      <c r="C1" s="36"/>
    </row>
    <row r="2" spans="1:3" x14ac:dyDescent="0.3">
      <c r="A2" s="36"/>
      <c r="B2" s="36"/>
      <c r="C2" s="36"/>
    </row>
    <row r="4" spans="1:3" x14ac:dyDescent="0.3">
      <c r="A4" s="28" t="s">
        <v>141</v>
      </c>
      <c r="B4" s="28" t="s">
        <v>122</v>
      </c>
    </row>
    <row r="5" spans="1:3" x14ac:dyDescent="0.3">
      <c r="A5" s="6" t="s">
        <v>27</v>
      </c>
      <c r="B5" s="6">
        <v>446306.46</v>
      </c>
    </row>
    <row r="6" spans="1:3" x14ac:dyDescent="0.3">
      <c r="A6" s="6" t="s">
        <v>28</v>
      </c>
      <c r="B6" s="6">
        <v>306361.15000000002</v>
      </c>
    </row>
    <row r="7" spans="1:3" x14ac:dyDescent="0.3">
      <c r="A7" s="6" t="s">
        <v>29</v>
      </c>
      <c r="B7" s="6">
        <v>168572.53</v>
      </c>
    </row>
    <row r="8" spans="1:3" x14ac:dyDescent="0.3">
      <c r="A8" s="6" t="s">
        <v>30</v>
      </c>
      <c r="B8" s="6">
        <v>135206.85</v>
      </c>
    </row>
    <row r="9" spans="1:3" x14ac:dyDescent="0.3">
      <c r="A9" s="6" t="s">
        <v>31</v>
      </c>
      <c r="B9" s="6">
        <v>116276.65</v>
      </c>
    </row>
    <row r="10" spans="1:3" x14ac:dyDescent="0.3">
      <c r="A10" s="6" t="s">
        <v>32</v>
      </c>
      <c r="B10" s="6">
        <v>88436.53</v>
      </c>
    </row>
    <row r="11" spans="1:3" x14ac:dyDescent="0.3">
      <c r="A11" s="6" t="s">
        <v>33</v>
      </c>
      <c r="B11" s="6">
        <v>79236.52</v>
      </c>
    </row>
    <row r="12" spans="1:3" x14ac:dyDescent="0.3">
      <c r="A12" s="6" t="s">
        <v>34</v>
      </c>
      <c r="B12" s="6">
        <v>76136.070000000007</v>
      </c>
    </row>
    <row r="13" spans="1:3" x14ac:dyDescent="0.3">
      <c r="A13" s="6" t="s">
        <v>35</v>
      </c>
      <c r="B13" s="6">
        <v>75130.350000000006</v>
      </c>
    </row>
    <row r="14" spans="1:3" x14ac:dyDescent="0.3">
      <c r="A14" s="6" t="s">
        <v>36</v>
      </c>
      <c r="B14" s="6">
        <v>70636.72</v>
      </c>
    </row>
  </sheetData>
  <mergeCells count="1">
    <mergeCell ref="A1:C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BF3E-9EDE-4ACB-95F2-7AB52F666467}">
  <dimension ref="A1:B14"/>
  <sheetViews>
    <sheetView workbookViewId="0">
      <selection activeCell="M20" sqref="M20"/>
    </sheetView>
  </sheetViews>
  <sheetFormatPr defaultRowHeight="14.4" x14ac:dyDescent="0.3"/>
  <cols>
    <col min="1" max="1" width="65.109375" customWidth="1"/>
    <col min="2" max="2" width="19.6640625" style="1" customWidth="1"/>
  </cols>
  <sheetData>
    <row r="1" spans="1:2" x14ac:dyDescent="0.3">
      <c r="A1" s="36" t="s">
        <v>144</v>
      </c>
    </row>
    <row r="2" spans="1:2" x14ac:dyDescent="0.3">
      <c r="A2" s="36"/>
    </row>
    <row r="4" spans="1:2" x14ac:dyDescent="0.3">
      <c r="A4" s="27" t="s">
        <v>143</v>
      </c>
      <c r="B4" s="27" t="s">
        <v>122</v>
      </c>
    </row>
    <row r="5" spans="1:2" x14ac:dyDescent="0.3">
      <c r="A5" t="s">
        <v>37</v>
      </c>
      <c r="B5" s="6">
        <v>61599.82</v>
      </c>
    </row>
    <row r="6" spans="1:2" x14ac:dyDescent="0.3">
      <c r="A6" t="s">
        <v>38</v>
      </c>
      <c r="B6" s="6">
        <v>27453.38</v>
      </c>
    </row>
    <row r="7" spans="1:2" x14ac:dyDescent="0.3">
      <c r="A7" t="s">
        <v>39</v>
      </c>
      <c r="B7" s="6">
        <v>22638.48</v>
      </c>
    </row>
    <row r="8" spans="1:2" x14ac:dyDescent="0.3">
      <c r="A8" t="s">
        <v>40</v>
      </c>
      <c r="B8" s="6">
        <v>21870.58</v>
      </c>
    </row>
    <row r="9" spans="1:2" x14ac:dyDescent="0.3">
      <c r="A9" t="s">
        <v>41</v>
      </c>
      <c r="B9" s="6">
        <v>19823.48</v>
      </c>
    </row>
    <row r="10" spans="1:2" x14ac:dyDescent="0.3">
      <c r="A10" t="s">
        <v>42</v>
      </c>
      <c r="B10" s="6">
        <v>19024.5</v>
      </c>
    </row>
    <row r="11" spans="1:2" x14ac:dyDescent="0.3">
      <c r="A11" t="s">
        <v>43</v>
      </c>
      <c r="B11" s="6">
        <v>18839.689999999999</v>
      </c>
    </row>
    <row r="12" spans="1:2" x14ac:dyDescent="0.3">
      <c r="A12" t="s">
        <v>44</v>
      </c>
      <c r="B12" s="6">
        <v>18374.900000000001</v>
      </c>
    </row>
    <row r="13" spans="1:2" x14ac:dyDescent="0.3">
      <c r="A13" t="s">
        <v>45</v>
      </c>
      <c r="B13" s="6">
        <v>17965.07</v>
      </c>
    </row>
    <row r="14" spans="1:2" x14ac:dyDescent="0.3">
      <c r="A14" t="s">
        <v>46</v>
      </c>
      <c r="B14" s="10">
        <v>17030.310000000001</v>
      </c>
    </row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7CD0-30DF-4BFE-A64B-DBE230445016}">
  <dimension ref="A1:L30"/>
  <sheetViews>
    <sheetView tabSelected="1" zoomScale="90" zoomScaleNormal="90" workbookViewId="0">
      <selection activeCell="K26" sqref="K26"/>
    </sheetView>
  </sheetViews>
  <sheetFormatPr defaultRowHeight="14.4" x14ac:dyDescent="0.3"/>
  <cols>
    <col min="1" max="1" width="26.5546875" bestFit="1" customWidth="1"/>
    <col min="2" max="2" width="25.109375" customWidth="1"/>
    <col min="3" max="3" width="12.6640625" bestFit="1" customWidth="1"/>
    <col min="4" max="4" width="13.109375" bestFit="1" customWidth="1"/>
    <col min="5" max="5" width="4.77734375" customWidth="1"/>
    <col min="6" max="6" width="15.77734375" customWidth="1"/>
    <col min="7" max="7" width="14.77734375" bestFit="1" customWidth="1"/>
    <col min="8" max="8" width="16.88671875" customWidth="1"/>
    <col min="9" max="9" width="16.6640625" bestFit="1" customWidth="1"/>
    <col min="10" max="10" width="13.6640625" customWidth="1"/>
    <col min="11" max="11" width="50.109375" bestFit="1" customWidth="1"/>
    <col min="12" max="12" width="11.109375" bestFit="1" customWidth="1"/>
    <col min="13" max="13" width="10" bestFit="1" customWidth="1"/>
  </cols>
  <sheetData>
    <row r="1" spans="1:12" ht="14.4" customHeight="1" x14ac:dyDescent="0.3">
      <c r="A1" s="38" t="s">
        <v>163</v>
      </c>
      <c r="B1" s="38"/>
      <c r="H1" s="38" t="s">
        <v>165</v>
      </c>
      <c r="I1" s="38"/>
      <c r="J1" s="38"/>
      <c r="K1" s="19"/>
    </row>
    <row r="2" spans="1:12" ht="14.4" customHeight="1" x14ac:dyDescent="0.3">
      <c r="A2" s="38"/>
      <c r="B2" s="38"/>
      <c r="H2" s="38"/>
      <c r="I2" s="38"/>
      <c r="J2" s="38"/>
      <c r="K2" s="19"/>
    </row>
    <row r="4" spans="1:12" x14ac:dyDescent="0.3">
      <c r="A4" s="26" t="s">
        <v>149</v>
      </c>
      <c r="B4" s="26" t="s">
        <v>150</v>
      </c>
      <c r="C4" s="26" t="s">
        <v>164</v>
      </c>
      <c r="D4" s="26" t="s">
        <v>124</v>
      </c>
      <c r="F4" s="27" t="s">
        <v>157</v>
      </c>
      <c r="G4" s="27" t="s">
        <v>158</v>
      </c>
      <c r="H4" s="27" t="s">
        <v>159</v>
      </c>
      <c r="I4" s="27" t="s">
        <v>160</v>
      </c>
      <c r="J4" s="27" t="s">
        <v>161</v>
      </c>
      <c r="K4" s="27" t="s">
        <v>143</v>
      </c>
      <c r="L4" s="27" t="s">
        <v>162</v>
      </c>
    </row>
    <row r="5" spans="1:12" x14ac:dyDescent="0.3">
      <c r="A5" s="6">
        <v>230.77</v>
      </c>
      <c r="B5" s="6">
        <v>626.62</v>
      </c>
      <c r="C5" s="6">
        <v>0.44</v>
      </c>
      <c r="D5" s="6">
        <v>22638.48</v>
      </c>
      <c r="F5" s="4" t="s">
        <v>95</v>
      </c>
      <c r="G5" s="16">
        <v>42081</v>
      </c>
      <c r="H5" s="4" t="s">
        <v>96</v>
      </c>
      <c r="I5" s="4" t="s">
        <v>0</v>
      </c>
      <c r="J5" s="4" t="s">
        <v>8</v>
      </c>
      <c r="K5" s="4" t="s">
        <v>39</v>
      </c>
      <c r="L5" s="6">
        <v>22638.48</v>
      </c>
    </row>
    <row r="6" spans="1:12" x14ac:dyDescent="0.3">
      <c r="F6" s="4" t="s">
        <v>97</v>
      </c>
      <c r="G6" s="16">
        <v>43010</v>
      </c>
      <c r="H6" s="4" t="s">
        <v>98</v>
      </c>
      <c r="I6" s="4" t="s">
        <v>0</v>
      </c>
      <c r="J6" s="4" t="s">
        <v>10</v>
      </c>
      <c r="K6" s="4" t="s">
        <v>37</v>
      </c>
      <c r="L6" s="6">
        <v>17499.95</v>
      </c>
    </row>
    <row r="7" spans="1:12" x14ac:dyDescent="0.3">
      <c r="F7" s="4" t="s">
        <v>99</v>
      </c>
      <c r="G7" s="16">
        <v>43182</v>
      </c>
      <c r="H7" s="4" t="s">
        <v>100</v>
      </c>
      <c r="I7" s="4" t="s">
        <v>0</v>
      </c>
      <c r="J7" s="4" t="s">
        <v>10</v>
      </c>
      <c r="K7" s="4" t="s">
        <v>37</v>
      </c>
      <c r="L7" s="6">
        <v>13999.96</v>
      </c>
    </row>
    <row r="8" spans="1:12" x14ac:dyDescent="0.3">
      <c r="F8" s="4" t="s">
        <v>101</v>
      </c>
      <c r="G8" s="16">
        <v>43395</v>
      </c>
      <c r="H8" s="4" t="s">
        <v>102</v>
      </c>
      <c r="I8" s="4" t="s">
        <v>0</v>
      </c>
      <c r="J8" s="4" t="s">
        <v>10</v>
      </c>
      <c r="K8" s="4" t="s">
        <v>37</v>
      </c>
      <c r="L8" s="6">
        <v>11199.968000000001</v>
      </c>
    </row>
    <row r="9" spans="1:12" x14ac:dyDescent="0.3">
      <c r="F9" s="4" t="s">
        <v>103</v>
      </c>
      <c r="G9" s="16">
        <v>43421</v>
      </c>
      <c r="H9" s="4" t="s">
        <v>104</v>
      </c>
      <c r="I9" s="4" t="s">
        <v>0</v>
      </c>
      <c r="J9" s="4" t="s">
        <v>10</v>
      </c>
      <c r="K9" s="4" t="s">
        <v>37</v>
      </c>
      <c r="L9" s="6">
        <v>10499.97</v>
      </c>
    </row>
    <row r="10" spans="1:12" x14ac:dyDescent="0.3">
      <c r="F10" s="4" t="s">
        <v>105</v>
      </c>
      <c r="G10" s="16">
        <v>43086</v>
      </c>
      <c r="H10" s="4" t="s">
        <v>106</v>
      </c>
      <c r="I10" s="4" t="s">
        <v>2</v>
      </c>
      <c r="J10" s="4" t="s">
        <v>7</v>
      </c>
      <c r="K10" s="4" t="s">
        <v>42</v>
      </c>
      <c r="L10" s="6">
        <v>9892.74</v>
      </c>
    </row>
    <row r="11" spans="1:12" x14ac:dyDescent="0.3">
      <c r="F11" s="4" t="s">
        <v>107</v>
      </c>
      <c r="G11" s="16">
        <v>42270</v>
      </c>
      <c r="H11" s="4" t="s">
        <v>108</v>
      </c>
      <c r="I11" s="4" t="s">
        <v>2</v>
      </c>
      <c r="J11" s="4" t="s">
        <v>7</v>
      </c>
      <c r="K11" s="4" t="s">
        <v>109</v>
      </c>
      <c r="L11" s="6">
        <v>9449.9500000000007</v>
      </c>
    </row>
    <row r="12" spans="1:12" x14ac:dyDescent="0.3">
      <c r="F12" s="4" t="s">
        <v>110</v>
      </c>
      <c r="G12" s="16">
        <v>42841</v>
      </c>
      <c r="H12" s="4" t="s">
        <v>111</v>
      </c>
      <c r="I12" s="4" t="s">
        <v>0</v>
      </c>
      <c r="J12" s="4" t="s">
        <v>8</v>
      </c>
      <c r="K12" s="4" t="s">
        <v>112</v>
      </c>
      <c r="L12" s="6">
        <v>9099.93</v>
      </c>
    </row>
    <row r="13" spans="1:12" x14ac:dyDescent="0.3">
      <c r="F13" s="4" t="s">
        <v>113</v>
      </c>
      <c r="G13" s="16">
        <v>42768</v>
      </c>
      <c r="H13" s="4" t="s">
        <v>114</v>
      </c>
      <c r="I13" s="4" t="s">
        <v>0</v>
      </c>
      <c r="J13" s="4" t="s">
        <v>8</v>
      </c>
      <c r="K13" s="4" t="s">
        <v>44</v>
      </c>
      <c r="L13" s="6">
        <v>8749.9500000000007</v>
      </c>
    </row>
    <row r="14" spans="1:12" x14ac:dyDescent="0.3">
      <c r="F14" s="4" t="s">
        <v>115</v>
      </c>
      <c r="G14" s="16">
        <v>42878</v>
      </c>
      <c r="H14" s="4" t="s">
        <v>116</v>
      </c>
      <c r="I14" s="4" t="s">
        <v>0</v>
      </c>
      <c r="J14" s="4" t="s">
        <v>10</v>
      </c>
      <c r="K14" s="4" t="s">
        <v>37</v>
      </c>
      <c r="L14" s="6">
        <v>8399.9760000000006</v>
      </c>
    </row>
    <row r="18" spans="1:4" ht="14.4" customHeight="1" x14ac:dyDescent="0.3">
      <c r="A18" s="37" t="s">
        <v>148</v>
      </c>
      <c r="B18" s="37"/>
      <c r="C18" s="19"/>
      <c r="D18" s="19"/>
    </row>
    <row r="19" spans="1:4" ht="14.4" customHeight="1" x14ac:dyDescent="0.3">
      <c r="A19" s="37"/>
      <c r="B19" s="37"/>
      <c r="C19" s="19"/>
      <c r="D19" s="19"/>
    </row>
    <row r="21" spans="1:4" x14ac:dyDescent="0.3">
      <c r="A21" s="9" t="s">
        <v>118</v>
      </c>
      <c r="B21" s="9" t="s">
        <v>119</v>
      </c>
    </row>
    <row r="22" spans="1:4" x14ac:dyDescent="0.3">
      <c r="A22" s="21" t="s">
        <v>149</v>
      </c>
      <c r="B22" s="6">
        <v>230.77</v>
      </c>
    </row>
    <row r="23" spans="1:4" x14ac:dyDescent="0.3">
      <c r="A23" s="21" t="s">
        <v>150</v>
      </c>
      <c r="B23" s="6">
        <v>626.62</v>
      </c>
    </row>
    <row r="24" spans="1:4" x14ac:dyDescent="0.3">
      <c r="A24" s="21" t="s">
        <v>151</v>
      </c>
      <c r="B24" s="6">
        <v>0.44</v>
      </c>
    </row>
    <row r="25" spans="1:4" x14ac:dyDescent="0.3">
      <c r="A25" s="21" t="s">
        <v>124</v>
      </c>
      <c r="B25" s="6">
        <v>22638.48</v>
      </c>
    </row>
    <row r="26" spans="1:4" x14ac:dyDescent="0.3">
      <c r="A26" s="21" t="s">
        <v>152</v>
      </c>
      <c r="B26" s="4" t="s">
        <v>153</v>
      </c>
    </row>
    <row r="27" spans="1:4" x14ac:dyDescent="0.3">
      <c r="A27" s="21" t="s">
        <v>154</v>
      </c>
      <c r="B27" s="25">
        <v>2110.63</v>
      </c>
    </row>
    <row r="28" spans="1:4" x14ac:dyDescent="0.3">
      <c r="A28" s="22" t="s">
        <v>155</v>
      </c>
      <c r="B28" s="4">
        <v>123</v>
      </c>
    </row>
    <row r="29" spans="1:4" x14ac:dyDescent="0.3">
      <c r="A29" s="21" t="s">
        <v>156</v>
      </c>
      <c r="B29" s="20">
        <f>123/9800</f>
        <v>1.2551020408163265E-2</v>
      </c>
    </row>
    <row r="30" spans="1:4" x14ac:dyDescent="0.3">
      <c r="A30" s="23"/>
    </row>
  </sheetData>
  <mergeCells count="3">
    <mergeCell ref="A18:B19"/>
    <mergeCell ref="A1:B2"/>
    <mergeCell ref="H1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EDA Summary</vt:lpstr>
      <vt:lpstr>Yearly Sales</vt:lpstr>
      <vt:lpstr>Monthly Sales</vt:lpstr>
      <vt:lpstr>Category Analysis</vt:lpstr>
      <vt:lpstr>Sub-Category Analysis</vt:lpstr>
      <vt:lpstr> Region Analysis </vt:lpstr>
      <vt:lpstr>Segment Analysis</vt:lpstr>
      <vt:lpstr>Top States</vt:lpstr>
      <vt:lpstr>Top Products</vt:lpstr>
      <vt:lpstr>Anomaly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2026-09-25T10:14:50Z</dcterms:created>
  <dcterms:modified xsi:type="dcterms:W3CDTF">2026-09-26T15:49:53Z</dcterms:modified>
</cp:coreProperties>
</file>